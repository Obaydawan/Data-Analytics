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dmin\OneDrive\Documents\DA-LEARNING\Data-Analytics\Excel\Project\xlsx file\"/>
    </mc:Choice>
  </mc:AlternateContent>
  <xr:revisionPtr revIDLastSave="0" documentId="8_{8D7A3A00-6395-4BBA-A718-86E9D6B2DF0B}" xr6:coauthVersionLast="47" xr6:coauthVersionMax="47" xr10:uidLastSave="{00000000-0000-0000-0000-000000000000}"/>
  <bookViews>
    <workbookView xWindow="820" yWindow="-110" windowWidth="18490" windowHeight="11020" activeTab="3" xr2:uid="{00000000-000D-0000-FFFF-FFFF00000000}"/>
  </bookViews>
  <sheets>
    <sheet name="bike_buyers" sheetId="1" r:id="rId1"/>
    <sheet name="Working sheet" sheetId="2" r:id="rId2"/>
    <sheet name="Pivot Tables" sheetId="3" r:id="rId3"/>
    <sheet name="Dashboard" sheetId="4" r:id="rId4"/>
  </sheets>
  <definedNames>
    <definedName name="_xlnm._FilterDatabase" localSheetId="0" hidden="1">bike_buyers!$A$1:$M$1001</definedName>
    <definedName name="_xlnm._FilterDatabase" localSheetId="1" hidden="1">'Working sheet'!$J$1:$J$1027</definedName>
    <definedName name="Slicer_Education">#N/A</definedName>
    <definedName name="Slicer_Maritial_Status">#N/A</definedName>
    <definedName name="Slicer_Occupation">#N/A</definedName>
    <definedName name="Slicer_Region">#N/A</definedName>
  </definedNames>
  <calcPr calcId="191029"/>
  <pivotCaches>
    <pivotCache cacheId="8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2" i="2"/>
</calcChain>
</file>

<file path=xl/sharedStrings.xml><?xml version="1.0" encoding="utf-8"?>
<sst xmlns="http://schemas.openxmlformats.org/spreadsheetml/2006/main" count="16266" uniqueCount="52">
  <si>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</si>
  <si>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</si>
  <si>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</si>
  <si>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</si>
  <si>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</si>
  <si>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</si>
  <si>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</si>
  <si>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</si>
  <si>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</si>
  <si>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</si>
  <si>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</si>
  <si>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</si>
  <si>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</si>
  <si>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</si>
  <si>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</si>
  <si>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</si>
  <si>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</si>
  <si>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</si>
  <si>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</si>
  <si>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</si>
  <si>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</si>
  <si>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</si>
  <si>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</si>
  <si>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</si>
  <si>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</si>
  <si>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</si>
  <si>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</si>
  <si>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</si>
  <si>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</si>
  <si>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</si>
  <si>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</si>
  <si>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</si>
  <si>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</si>
  <si>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</si>
  <si>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</si>
  <si>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</si>
  <si>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</si>
  <si>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</si>
  <si>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</si>
  <si>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</si>
  <si>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</si>
  <si>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Maritial Status</t>
  </si>
  <si>
    <t>Row Labels</t>
  </si>
  <si>
    <t>Grand Total</t>
  </si>
  <si>
    <t>Average of Income</t>
  </si>
  <si>
    <t>Count of Purchased Bike</t>
  </si>
  <si>
    <t>Column Labels</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</si>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</sst>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70" formatCode="_-[$$-409]* #,##0_ ;_-[$$-409]* \-#,##0\ ;_-[$$-409]* &quot;-&quot;??_ ;_-@_ "/>
    <numFmt numFmtId="17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2"/>
      <name val="Aldhabi"/>
      <charset val="178"/>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70" fontId="0" fillId="0" borderId="0" xfId="0" applyNumberFormat="1"/>
    <xf numFmtId="0" fontId="0" fillId="0" borderId="0" xfId="0" applyNumberFormat="1"/>
    <xf numFmtId="0" fontId="0" fillId="0" borderId="0" xfId="0" pivotButton="1"/>
    <xf numFmtId="0" fontId="0" fillId="0" borderId="0" xfId="0" applyAlignment="1">
      <alignment horizontal="left"/>
    </xf>
    <xf numFmtId="176" fontId="0" fillId="0" borderId="0" xfId="0" applyNumberFormat="1"/>
    <xf numFmtId="0" fontId="0" fillId="33" borderId="0" xfId="0" applyFill="1"/>
    <xf numFmtId="0" fontId="19" fillId="33" borderId="0" xfId="0" applyFont="1" applyFill="1"/>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
      <numFmt numFmtId="17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endParaRPr lang="en-GB"/>
          </a:p>
        </c:rich>
      </c:tx>
      <c:layout>
        <c:manualLayout>
          <c:xMode val="edge"/>
          <c:yMode val="edge"/>
          <c:x val="0.15422457381694088"/>
          <c:y val="0.1809090652902695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#,##0_-;\-* #,##0_-;_-* "-"??_-;_-@_-</c:formatCode>
                <c:ptCount val="2"/>
                <c:pt idx="0">
                  <c:v>30000</c:v>
                </c:pt>
                <c:pt idx="1">
                  <c:v>27500</c:v>
                </c:pt>
              </c:numCache>
            </c:numRef>
          </c:val>
          <c:extLst>
            <c:ext xmlns:c16="http://schemas.microsoft.com/office/drawing/2014/chart" uri="{C3380CC4-5D6E-409C-BE32-E72D297353CC}">
              <c16:uniqueId val="{00000000-F4BA-41C9-B930-2C5717A88F5B}"/>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#,##0_-;\-* #,##0_-;_-* "-"??_-;_-@_-</c:formatCode>
                <c:ptCount val="2"/>
                <c:pt idx="0">
                  <c:v>33478.260869565216</c:v>
                </c:pt>
                <c:pt idx="1">
                  <c:v>33095.238095238092</c:v>
                </c:pt>
              </c:numCache>
            </c:numRef>
          </c:val>
          <c:extLst>
            <c:ext xmlns:c16="http://schemas.microsoft.com/office/drawing/2014/chart" uri="{C3380CC4-5D6E-409C-BE32-E72D297353CC}">
              <c16:uniqueId val="{00000001-F4BA-41C9-B930-2C5717A88F5B}"/>
            </c:ext>
          </c:extLst>
        </c:ser>
        <c:dLbls>
          <c:showLegendKey val="0"/>
          <c:showVal val="0"/>
          <c:showCatName val="0"/>
          <c:showSerName val="0"/>
          <c:showPercent val="0"/>
          <c:showBubbleSize val="0"/>
        </c:dLbls>
        <c:gapWidth val="219"/>
        <c:overlap val="-27"/>
        <c:axId val="1693121343"/>
        <c:axId val="1693120383"/>
      </c:barChart>
      <c:catAx>
        <c:axId val="1693121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93120383"/>
        <c:crosses val="autoZero"/>
        <c:auto val="1"/>
        <c:lblAlgn val="ctr"/>
        <c:lblOffset val="100"/>
        <c:noMultiLvlLbl val="0"/>
      </c:catAx>
      <c:valAx>
        <c:axId val="1693120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Inccime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9312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Distance</a:t>
            </a:r>
            <a:r>
              <a:rPr lang="en-GB" baseline="0"/>
              <a:t> Per Customer</a:t>
            </a:r>
            <a:endParaRPr lang="en-GB"/>
          </a:p>
        </c:rich>
      </c:tx>
      <c:layout>
        <c:manualLayout>
          <c:xMode val="edge"/>
          <c:yMode val="edge"/>
          <c:x val="0.30563195362649137"/>
          <c:y val="0.16330920108181124"/>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Tables'!$B$17:$B$18</c:f>
              <c:strCache>
                <c:ptCount val="1"/>
                <c:pt idx="0">
                  <c:v>No</c:v>
                </c:pt>
              </c:strCache>
            </c:strRef>
          </c:tx>
          <c:spPr>
            <a:ln w="28575" cap="rnd">
              <a:solidFill>
                <a:schemeClr val="accent1"/>
              </a:solidFill>
              <a:round/>
            </a:ln>
            <a:effectLst/>
          </c:spPr>
          <c:marker>
            <c:symbol val="none"/>
          </c:marker>
          <c:cat>
            <c:strRef>
              <c:f>'Pivot Tables'!$A$19:$A$23</c:f>
              <c:strCache>
                <c:ptCount val="4"/>
                <c:pt idx="0">
                  <c:v>0-1 Miles</c:v>
                </c:pt>
                <c:pt idx="1">
                  <c:v>1-2 Miles</c:v>
                </c:pt>
                <c:pt idx="2">
                  <c:v>2-5 Miles</c:v>
                </c:pt>
                <c:pt idx="3">
                  <c:v>5-10 Miles</c:v>
                </c:pt>
              </c:strCache>
            </c:strRef>
          </c:cat>
          <c:val>
            <c:numRef>
              <c:f>'Pivot Tables'!$B$19:$B$23</c:f>
              <c:numCache>
                <c:formatCode>General</c:formatCode>
                <c:ptCount val="4"/>
                <c:pt idx="0">
                  <c:v>50</c:v>
                </c:pt>
                <c:pt idx="1">
                  <c:v>9</c:v>
                </c:pt>
                <c:pt idx="2">
                  <c:v>12</c:v>
                </c:pt>
                <c:pt idx="3">
                  <c:v>18</c:v>
                </c:pt>
              </c:numCache>
            </c:numRef>
          </c:val>
          <c:smooth val="0"/>
          <c:extLst>
            <c:ext xmlns:c16="http://schemas.microsoft.com/office/drawing/2014/chart" uri="{C3380CC4-5D6E-409C-BE32-E72D297353CC}">
              <c16:uniqueId val="{00000000-C6D4-4F4E-AA4E-30EEC2738990}"/>
            </c:ext>
          </c:extLst>
        </c:ser>
        <c:ser>
          <c:idx val="1"/>
          <c:order val="1"/>
          <c:tx>
            <c:strRef>
              <c:f>'Pivot Tables'!$C$17:$C$18</c:f>
              <c:strCache>
                <c:ptCount val="1"/>
                <c:pt idx="0">
                  <c:v>Yes</c:v>
                </c:pt>
              </c:strCache>
            </c:strRef>
          </c:tx>
          <c:spPr>
            <a:ln w="28575" cap="rnd">
              <a:solidFill>
                <a:schemeClr val="accent2"/>
              </a:solidFill>
              <a:round/>
            </a:ln>
            <a:effectLst/>
          </c:spPr>
          <c:marker>
            <c:symbol val="none"/>
          </c:marker>
          <c:cat>
            <c:strRef>
              <c:f>'Pivot Tables'!$A$19:$A$23</c:f>
              <c:strCache>
                <c:ptCount val="4"/>
                <c:pt idx="0">
                  <c:v>0-1 Miles</c:v>
                </c:pt>
                <c:pt idx="1">
                  <c:v>1-2 Miles</c:v>
                </c:pt>
                <c:pt idx="2">
                  <c:v>2-5 Miles</c:v>
                </c:pt>
                <c:pt idx="3">
                  <c:v>5-10 Miles</c:v>
                </c:pt>
              </c:strCache>
            </c:strRef>
          </c:cat>
          <c:val>
            <c:numRef>
              <c:f>'Pivot Tables'!$C$19:$C$23</c:f>
              <c:numCache>
                <c:formatCode>General</c:formatCode>
                <c:ptCount val="4"/>
                <c:pt idx="0">
                  <c:v>59</c:v>
                </c:pt>
                <c:pt idx="1">
                  <c:v>21</c:v>
                </c:pt>
                <c:pt idx="2">
                  <c:v>3</c:v>
                </c:pt>
                <c:pt idx="3">
                  <c:v>5</c:v>
                </c:pt>
              </c:numCache>
            </c:numRef>
          </c:val>
          <c:smooth val="0"/>
          <c:extLst>
            <c:ext xmlns:c16="http://schemas.microsoft.com/office/drawing/2014/chart" uri="{C3380CC4-5D6E-409C-BE32-E72D297353CC}">
              <c16:uniqueId val="{00000001-C6D4-4F4E-AA4E-30EEC2738990}"/>
            </c:ext>
          </c:extLst>
        </c:ser>
        <c:dLbls>
          <c:showLegendKey val="0"/>
          <c:showVal val="0"/>
          <c:showCatName val="0"/>
          <c:showSerName val="0"/>
          <c:showPercent val="0"/>
          <c:showBubbleSize val="0"/>
        </c:dLbls>
        <c:smooth val="0"/>
        <c:axId val="1705746223"/>
        <c:axId val="1705746703"/>
      </c:lineChart>
      <c:catAx>
        <c:axId val="170574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05746703"/>
        <c:crosses val="autoZero"/>
        <c:auto val="1"/>
        <c:lblAlgn val="ctr"/>
        <c:lblOffset val="100"/>
        <c:noMultiLvlLbl val="0"/>
      </c:catAx>
      <c:valAx>
        <c:axId val="170574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0574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Tables'!$A$37:$A$40</c:f>
              <c:strCache>
                <c:ptCount val="3"/>
                <c:pt idx="0">
                  <c:v>Adolescent</c:v>
                </c:pt>
                <c:pt idx="1">
                  <c:v>Middle Age</c:v>
                </c:pt>
                <c:pt idx="2">
                  <c:v>Old</c:v>
                </c:pt>
              </c:strCache>
            </c:strRef>
          </c:cat>
          <c:val>
            <c:numRef>
              <c:f>'Pivot Tables'!$B$37:$B$40</c:f>
              <c:numCache>
                <c:formatCode>General</c:formatCode>
                <c:ptCount val="3"/>
                <c:pt idx="0">
                  <c:v>20</c:v>
                </c:pt>
                <c:pt idx="1">
                  <c:v>47</c:v>
                </c:pt>
                <c:pt idx="2">
                  <c:v>22</c:v>
                </c:pt>
              </c:numCache>
            </c:numRef>
          </c:val>
          <c:smooth val="0"/>
          <c:extLst>
            <c:ext xmlns:c16="http://schemas.microsoft.com/office/drawing/2014/chart" uri="{C3380CC4-5D6E-409C-BE32-E72D297353CC}">
              <c16:uniqueId val="{00000000-9DEA-4219-A988-36731E7EA29F}"/>
            </c:ext>
          </c:extLst>
        </c:ser>
        <c:ser>
          <c:idx val="1"/>
          <c:order val="1"/>
          <c:tx>
            <c:strRef>
              <c:f>'Pivot Tables'!$C$35:$C$36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Tables'!$A$37:$A$40</c:f>
              <c:strCache>
                <c:ptCount val="3"/>
                <c:pt idx="0">
                  <c:v>Adolescent</c:v>
                </c:pt>
                <c:pt idx="1">
                  <c:v>Middle Age</c:v>
                </c:pt>
                <c:pt idx="2">
                  <c:v>Old</c:v>
                </c:pt>
              </c:strCache>
            </c:strRef>
          </c:cat>
          <c:val>
            <c:numRef>
              <c:f>'Pivot Tables'!$C$37:$C$40</c:f>
              <c:numCache>
                <c:formatCode>General</c:formatCode>
                <c:ptCount val="3"/>
                <c:pt idx="0">
                  <c:v>13</c:v>
                </c:pt>
                <c:pt idx="1">
                  <c:v>64</c:v>
                </c:pt>
                <c:pt idx="2">
                  <c:v>11</c:v>
                </c:pt>
              </c:numCache>
            </c:numRef>
          </c:val>
          <c:smooth val="0"/>
          <c:extLst>
            <c:ext xmlns:c16="http://schemas.microsoft.com/office/drawing/2014/chart" uri="{C3380CC4-5D6E-409C-BE32-E72D297353CC}">
              <c16:uniqueId val="{00000001-9DEA-4219-A988-36731E7EA29F}"/>
            </c:ext>
          </c:extLst>
        </c:ser>
        <c:dLbls>
          <c:showLegendKey val="0"/>
          <c:showVal val="0"/>
          <c:showCatName val="0"/>
          <c:showSerName val="0"/>
          <c:showPercent val="0"/>
          <c:showBubbleSize val="0"/>
        </c:dLbls>
        <c:marker val="1"/>
        <c:smooth val="0"/>
        <c:axId val="1459147615"/>
        <c:axId val="1459170175"/>
      </c:lineChart>
      <c:catAx>
        <c:axId val="1459147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59170175"/>
        <c:crosses val="autoZero"/>
        <c:auto val="1"/>
        <c:lblAlgn val="ctr"/>
        <c:lblOffset val="100"/>
        <c:noMultiLvlLbl val="0"/>
      </c:catAx>
      <c:valAx>
        <c:axId val="145917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5914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Tables'!$A$37:$A$40</c:f>
              <c:strCache>
                <c:ptCount val="3"/>
                <c:pt idx="0">
                  <c:v>Adolescent</c:v>
                </c:pt>
                <c:pt idx="1">
                  <c:v>Middle Age</c:v>
                </c:pt>
                <c:pt idx="2">
                  <c:v>Old</c:v>
                </c:pt>
              </c:strCache>
            </c:strRef>
          </c:cat>
          <c:val>
            <c:numRef>
              <c:f>'Pivot Tables'!$B$37:$B$40</c:f>
              <c:numCache>
                <c:formatCode>General</c:formatCode>
                <c:ptCount val="3"/>
                <c:pt idx="0">
                  <c:v>20</c:v>
                </c:pt>
                <c:pt idx="1">
                  <c:v>47</c:v>
                </c:pt>
                <c:pt idx="2">
                  <c:v>22</c:v>
                </c:pt>
              </c:numCache>
            </c:numRef>
          </c:val>
          <c:smooth val="0"/>
          <c:extLst>
            <c:ext xmlns:c16="http://schemas.microsoft.com/office/drawing/2014/chart" uri="{C3380CC4-5D6E-409C-BE32-E72D297353CC}">
              <c16:uniqueId val="{00000000-02AB-46CE-9F9C-196CEB4017D1}"/>
            </c:ext>
          </c:extLst>
        </c:ser>
        <c:ser>
          <c:idx val="1"/>
          <c:order val="1"/>
          <c:tx>
            <c:strRef>
              <c:f>'Pivot Tables'!$C$35:$C$36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Tables'!$A$37:$A$40</c:f>
              <c:strCache>
                <c:ptCount val="3"/>
                <c:pt idx="0">
                  <c:v>Adolescent</c:v>
                </c:pt>
                <c:pt idx="1">
                  <c:v>Middle Age</c:v>
                </c:pt>
                <c:pt idx="2">
                  <c:v>Old</c:v>
                </c:pt>
              </c:strCache>
            </c:strRef>
          </c:cat>
          <c:val>
            <c:numRef>
              <c:f>'Pivot Tables'!$C$37:$C$40</c:f>
              <c:numCache>
                <c:formatCode>General</c:formatCode>
                <c:ptCount val="3"/>
                <c:pt idx="0">
                  <c:v>13</c:v>
                </c:pt>
                <c:pt idx="1">
                  <c:v>64</c:v>
                </c:pt>
                <c:pt idx="2">
                  <c:v>11</c:v>
                </c:pt>
              </c:numCache>
            </c:numRef>
          </c:val>
          <c:smooth val="0"/>
          <c:extLst>
            <c:ext xmlns:c16="http://schemas.microsoft.com/office/drawing/2014/chart" uri="{C3380CC4-5D6E-409C-BE32-E72D297353CC}">
              <c16:uniqueId val="{00000001-02AB-46CE-9F9C-196CEB4017D1}"/>
            </c:ext>
          </c:extLst>
        </c:ser>
        <c:dLbls>
          <c:showLegendKey val="0"/>
          <c:showVal val="0"/>
          <c:showCatName val="0"/>
          <c:showSerName val="0"/>
          <c:showPercent val="0"/>
          <c:showBubbleSize val="0"/>
        </c:dLbls>
        <c:marker val="1"/>
        <c:smooth val="0"/>
        <c:axId val="1459147615"/>
        <c:axId val="1459170175"/>
      </c:lineChart>
      <c:catAx>
        <c:axId val="1459147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59170175"/>
        <c:crosses val="autoZero"/>
        <c:auto val="1"/>
        <c:lblAlgn val="ctr"/>
        <c:lblOffset val="100"/>
        <c:noMultiLvlLbl val="0"/>
      </c:catAx>
      <c:valAx>
        <c:axId val="145917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5914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Distance</a:t>
            </a:r>
            <a:r>
              <a:rPr lang="en-GB" baseline="0"/>
              <a:t> Per Customer</a:t>
            </a:r>
            <a:endParaRPr lang="en-GB"/>
          </a:p>
        </c:rich>
      </c:tx>
      <c:layout>
        <c:manualLayout>
          <c:xMode val="edge"/>
          <c:yMode val="edge"/>
          <c:x val="0.30563195362649137"/>
          <c:y val="0.16330920108181124"/>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Tables'!$B$17:$B$18</c:f>
              <c:strCache>
                <c:ptCount val="1"/>
                <c:pt idx="0">
                  <c:v>No</c:v>
                </c:pt>
              </c:strCache>
            </c:strRef>
          </c:tx>
          <c:spPr>
            <a:ln w="28575" cap="rnd">
              <a:solidFill>
                <a:schemeClr val="accent1"/>
              </a:solidFill>
              <a:round/>
            </a:ln>
            <a:effectLst/>
          </c:spPr>
          <c:marker>
            <c:symbol val="none"/>
          </c:marker>
          <c:cat>
            <c:strRef>
              <c:f>'Pivot Tables'!$A$19:$A$23</c:f>
              <c:strCache>
                <c:ptCount val="4"/>
                <c:pt idx="0">
                  <c:v>0-1 Miles</c:v>
                </c:pt>
                <c:pt idx="1">
                  <c:v>1-2 Miles</c:v>
                </c:pt>
                <c:pt idx="2">
                  <c:v>2-5 Miles</c:v>
                </c:pt>
                <c:pt idx="3">
                  <c:v>5-10 Miles</c:v>
                </c:pt>
              </c:strCache>
            </c:strRef>
          </c:cat>
          <c:val>
            <c:numRef>
              <c:f>'Pivot Tables'!$B$19:$B$23</c:f>
              <c:numCache>
                <c:formatCode>General</c:formatCode>
                <c:ptCount val="4"/>
                <c:pt idx="0">
                  <c:v>50</c:v>
                </c:pt>
                <c:pt idx="1">
                  <c:v>9</c:v>
                </c:pt>
                <c:pt idx="2">
                  <c:v>12</c:v>
                </c:pt>
                <c:pt idx="3">
                  <c:v>18</c:v>
                </c:pt>
              </c:numCache>
            </c:numRef>
          </c:val>
          <c:smooth val="0"/>
          <c:extLst>
            <c:ext xmlns:c16="http://schemas.microsoft.com/office/drawing/2014/chart" uri="{C3380CC4-5D6E-409C-BE32-E72D297353CC}">
              <c16:uniqueId val="{00000000-04E0-4F62-876A-61C669DD5F0B}"/>
            </c:ext>
          </c:extLst>
        </c:ser>
        <c:ser>
          <c:idx val="1"/>
          <c:order val="1"/>
          <c:tx>
            <c:strRef>
              <c:f>'Pivot Tables'!$C$17:$C$18</c:f>
              <c:strCache>
                <c:ptCount val="1"/>
                <c:pt idx="0">
                  <c:v>Yes</c:v>
                </c:pt>
              </c:strCache>
            </c:strRef>
          </c:tx>
          <c:spPr>
            <a:ln w="28575" cap="rnd">
              <a:solidFill>
                <a:schemeClr val="accent2"/>
              </a:solidFill>
              <a:round/>
            </a:ln>
            <a:effectLst/>
          </c:spPr>
          <c:marker>
            <c:symbol val="none"/>
          </c:marker>
          <c:cat>
            <c:strRef>
              <c:f>'Pivot Tables'!$A$19:$A$23</c:f>
              <c:strCache>
                <c:ptCount val="4"/>
                <c:pt idx="0">
                  <c:v>0-1 Miles</c:v>
                </c:pt>
                <c:pt idx="1">
                  <c:v>1-2 Miles</c:v>
                </c:pt>
                <c:pt idx="2">
                  <c:v>2-5 Miles</c:v>
                </c:pt>
                <c:pt idx="3">
                  <c:v>5-10 Miles</c:v>
                </c:pt>
              </c:strCache>
            </c:strRef>
          </c:cat>
          <c:val>
            <c:numRef>
              <c:f>'Pivot Tables'!$C$19:$C$23</c:f>
              <c:numCache>
                <c:formatCode>General</c:formatCode>
                <c:ptCount val="4"/>
                <c:pt idx="0">
                  <c:v>59</c:v>
                </c:pt>
                <c:pt idx="1">
                  <c:v>21</c:v>
                </c:pt>
                <c:pt idx="2">
                  <c:v>3</c:v>
                </c:pt>
                <c:pt idx="3">
                  <c:v>5</c:v>
                </c:pt>
              </c:numCache>
            </c:numRef>
          </c:val>
          <c:smooth val="0"/>
          <c:extLst>
            <c:ext xmlns:c16="http://schemas.microsoft.com/office/drawing/2014/chart" uri="{C3380CC4-5D6E-409C-BE32-E72D297353CC}">
              <c16:uniqueId val="{00000001-04E0-4F62-876A-61C669DD5F0B}"/>
            </c:ext>
          </c:extLst>
        </c:ser>
        <c:dLbls>
          <c:showLegendKey val="0"/>
          <c:showVal val="0"/>
          <c:showCatName val="0"/>
          <c:showSerName val="0"/>
          <c:showPercent val="0"/>
          <c:showBubbleSize val="0"/>
        </c:dLbls>
        <c:smooth val="0"/>
        <c:axId val="1705746223"/>
        <c:axId val="1705746703"/>
      </c:lineChart>
      <c:catAx>
        <c:axId val="170574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05746703"/>
        <c:crosses val="autoZero"/>
        <c:auto val="1"/>
        <c:lblAlgn val="ctr"/>
        <c:lblOffset val="100"/>
        <c:noMultiLvlLbl val="0"/>
      </c:catAx>
      <c:valAx>
        <c:axId val="1705746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70574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endParaRPr lang="en-GB"/>
          </a:p>
        </c:rich>
      </c:tx>
      <c:layout>
        <c:manualLayout>
          <c:xMode val="edge"/>
          <c:yMode val="edge"/>
          <c:x val="0.15422457381694088"/>
          <c:y val="0.1809090652902695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_-* #,##0_-;\-* #,##0_-;_-* "-"??_-;_-@_-</c:formatCode>
                <c:ptCount val="2"/>
                <c:pt idx="0">
                  <c:v>30000</c:v>
                </c:pt>
                <c:pt idx="1">
                  <c:v>27500</c:v>
                </c:pt>
              </c:numCache>
            </c:numRef>
          </c:val>
          <c:extLst>
            <c:ext xmlns:c16="http://schemas.microsoft.com/office/drawing/2014/chart" uri="{C3380CC4-5D6E-409C-BE32-E72D297353CC}">
              <c16:uniqueId val="{00000000-A5DA-4380-B383-26D32FF9ECAE}"/>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_-* #,##0_-;\-* #,##0_-;_-* "-"??_-;_-@_-</c:formatCode>
                <c:ptCount val="2"/>
                <c:pt idx="0">
                  <c:v>33478.260869565216</c:v>
                </c:pt>
                <c:pt idx="1">
                  <c:v>33095.238095238092</c:v>
                </c:pt>
              </c:numCache>
            </c:numRef>
          </c:val>
          <c:extLst>
            <c:ext xmlns:c16="http://schemas.microsoft.com/office/drawing/2014/chart" uri="{C3380CC4-5D6E-409C-BE32-E72D297353CC}">
              <c16:uniqueId val="{00000001-A5DA-4380-B383-26D32FF9ECAE}"/>
            </c:ext>
          </c:extLst>
        </c:ser>
        <c:dLbls>
          <c:showLegendKey val="0"/>
          <c:showVal val="0"/>
          <c:showCatName val="0"/>
          <c:showSerName val="0"/>
          <c:showPercent val="0"/>
          <c:showBubbleSize val="0"/>
        </c:dLbls>
        <c:gapWidth val="219"/>
        <c:overlap val="-27"/>
        <c:axId val="1693121343"/>
        <c:axId val="1693120383"/>
      </c:barChart>
      <c:catAx>
        <c:axId val="1693121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93120383"/>
        <c:crosses val="autoZero"/>
        <c:auto val="1"/>
        <c:lblAlgn val="ctr"/>
        <c:lblOffset val="100"/>
        <c:noMultiLvlLbl val="0"/>
      </c:catAx>
      <c:valAx>
        <c:axId val="1693120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Inccime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9312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336550</xdr:colOff>
      <xdr:row>1</xdr:row>
      <xdr:rowOff>63501</xdr:rowOff>
    </xdr:from>
    <xdr:to>
      <xdr:col>9</xdr:col>
      <xdr:colOff>266700</xdr:colOff>
      <xdr:row>13</xdr:row>
      <xdr:rowOff>82550</xdr:rowOff>
    </xdr:to>
    <xdr:graphicFrame macro="">
      <xdr:nvGraphicFramePr>
        <xdr:cNvPr id="2" name="Chart 1">
          <a:extLst>
            <a:ext uri="{FF2B5EF4-FFF2-40B4-BE49-F238E27FC236}">
              <a16:creationId xmlns:a16="http://schemas.microsoft.com/office/drawing/2014/main" id="{D20F55CE-0BA9-9893-881D-BE1C304B8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199571</xdr:colOff>
      <xdr:row>17</xdr:row>
      <xdr:rowOff>154214</xdr:rowOff>
    </xdr:from>
    <xdr:to>
      <xdr:col>9</xdr:col>
      <xdr:colOff>244930</xdr:colOff>
      <xdr:row>28</xdr:row>
      <xdr:rowOff>163286</xdr:rowOff>
    </xdr:to>
    <xdr:graphicFrame macro="">
      <xdr:nvGraphicFramePr>
        <xdr:cNvPr id="3" name="Chart 2">
          <a:extLst>
            <a:ext uri="{FF2B5EF4-FFF2-40B4-BE49-F238E27FC236}">
              <a16:creationId xmlns:a16="http://schemas.microsoft.com/office/drawing/2014/main" id="{32C0D299-562E-2DF6-0F84-20C9ECF3C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145142</xdr:colOff>
      <xdr:row>34</xdr:row>
      <xdr:rowOff>9072</xdr:rowOff>
    </xdr:from>
    <xdr:to>
      <xdr:col>10</xdr:col>
      <xdr:colOff>272142</xdr:colOff>
      <xdr:row>49</xdr:row>
      <xdr:rowOff>108856</xdr:rowOff>
    </xdr:to>
    <xdr:graphicFrame macro="">
      <xdr:nvGraphicFramePr>
        <xdr:cNvPr id="4" name="Chart 3">
          <a:extLst>
            <a:ext uri="{FF2B5EF4-FFF2-40B4-BE49-F238E27FC236}">
              <a16:creationId xmlns:a16="http://schemas.microsoft.com/office/drawing/2014/main" id="{023D9C74-269B-03C8-9AFD-1678426A0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326572</xdr:colOff>
      <xdr:row>1</xdr:row>
      <xdr:rowOff>18143</xdr:rowOff>
    </xdr:from>
    <xdr:to>
      <xdr:col>15</xdr:col>
      <xdr:colOff>598714</xdr:colOff>
      <xdr:row>16</xdr:row>
      <xdr:rowOff>63500</xdr:rowOff>
    </xdr:to>
    <xdr:graphicFrame macro="">
      <xdr:nvGraphicFramePr>
        <xdr:cNvPr id="2" name="Chart 1">
          <a:extLst>
            <a:ext uri="{FF2B5EF4-FFF2-40B4-BE49-F238E27FC236}">
              <a16:creationId xmlns:a16="http://schemas.microsoft.com/office/drawing/2014/main" id="{6C0EDF01-6022-4252-94B4-BCD1D8FF7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526143</xdr:colOff>
      <xdr:row>16</xdr:row>
      <xdr:rowOff>81640</xdr:rowOff>
    </xdr:from>
    <xdr:to>
      <xdr:col>16</xdr:col>
      <xdr:colOff>0</xdr:colOff>
      <xdr:row>31</xdr:row>
      <xdr:rowOff>117926</xdr:rowOff>
    </xdr:to>
    <xdr:graphicFrame macro="">
      <xdr:nvGraphicFramePr>
        <xdr:cNvPr id="3" name="Chart 2">
          <a:extLst>
            <a:ext uri="{FF2B5EF4-FFF2-40B4-BE49-F238E27FC236}">
              <a16:creationId xmlns:a16="http://schemas.microsoft.com/office/drawing/2014/main" id="{4B77952A-1211-4F3E-9E31-10D03E409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535216</xdr:colOff>
      <xdr:row>1</xdr:row>
      <xdr:rowOff>18143</xdr:rowOff>
    </xdr:from>
    <xdr:to>
      <xdr:col>9</xdr:col>
      <xdr:colOff>308429</xdr:colOff>
      <xdr:row>16</xdr:row>
      <xdr:rowOff>63499</xdr:rowOff>
    </xdr:to>
    <xdr:graphicFrame macro="">
      <xdr:nvGraphicFramePr>
        <xdr:cNvPr id="4" name="Chart 3">
          <a:extLst>
            <a:ext uri="{FF2B5EF4-FFF2-40B4-BE49-F238E27FC236}">
              <a16:creationId xmlns:a16="http://schemas.microsoft.com/office/drawing/2014/main" id="{883341DD-A794-4866-9C48-FB76E43D3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9071</xdr:colOff>
      <xdr:row>1</xdr:row>
      <xdr:rowOff>9072</xdr:rowOff>
    </xdr:from>
    <xdr:to>
      <xdr:col>2</xdr:col>
      <xdr:colOff>544285</xdr:colOff>
      <xdr:row>6</xdr:row>
      <xdr:rowOff>36286</xdr:rowOff>
    </xdr:to>
    <mc:AlternateContent xmlns:mc="http://schemas.openxmlformats.org/markup-compatibility/2006">
      <mc:Choice xmlns:a14="http://schemas.microsoft.com/office/drawing/2010/main" Requires="a14">
        <xdr:graphicFrame macro="">
          <xdr:nvGraphicFramePr>
            <xdr:cNvPr id="5" name="Maritial Status">
              <a:extLst>
                <a:ext uri="{FF2B5EF4-FFF2-40B4-BE49-F238E27FC236}">
                  <a16:creationId xmlns:a16="http://schemas.microsoft.com/office/drawing/2014/main" id="{B736D09F-4E0B-34B5-741C-D16D860C96E6}"/>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dr:sp macro="" textlink="">
          <xdr:nvSpPr>
            <xdr:cNvPr id="0" name=""/>
            <xdr:cNvSpPr>
              <a:spLocks noTextEdit="1"/>
            </xdr:cNvSpPr>
          </xdr:nvSpPr>
          <xdr:spPr>
            <a:xfrm>
              <a:off x="9071" y="1001981"/>
              <a:ext cx="1759032" cy="9508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163287</xdr:rowOff>
    </xdr:from>
    <xdr:to>
      <xdr:col>2</xdr:col>
      <xdr:colOff>517072</xdr:colOff>
      <xdr:row>22</xdr:row>
      <xdr:rowOff>9071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CD19D65-22E5-51D6-DC21-1975FD99396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88196"/>
              <a:ext cx="1740890" cy="169305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27215</xdr:colOff>
      <xdr:row>6</xdr:row>
      <xdr:rowOff>60780</xdr:rowOff>
    </xdr:from>
    <xdr:to>
      <xdr:col>2</xdr:col>
      <xdr:colOff>526143</xdr:colOff>
      <xdr:row>12</xdr:row>
      <xdr:rowOff>154215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B99807C-CE3E-6BBA-0E44-F13845A7B7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215" y="1977325"/>
              <a:ext cx="1722746" cy="120179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134259</xdr:rowOff>
    </xdr:from>
    <xdr:to>
      <xdr:col>2</xdr:col>
      <xdr:colOff>508000</xdr:colOff>
      <xdr:row>31</xdr:row>
      <xdr:rowOff>1</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92E135D2-0D73-BB87-A54D-31604D581BC7}"/>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4821714"/>
              <a:ext cx="1731818" cy="171301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mail - [2010]" refreshedDate="46182.723002662038" createdVersion="8" refreshedVersion="8" minRefreshableVersion="3" recordCount="1002" xr:uid="{9EF8874B-0826-40A0-B5D6-A83680FED16C}">
  <cacheSource type="worksheet">
    <worksheetSource ref="A1:N1003" sheet="Working sheet"/>
  </cacheSource>
  <cacheFields count="14">
    <cacheField name="ID" numFmtId="0">
      <sharedItems containsString="0" containsBlank="1" containsNumber="1" containsInteger="1" minValue="11000" maxValue="29447"/>
    </cacheField>
    <cacheField name="Maritial Status" numFmtId="0">
      <sharedItems containsBlank="1" count="3">
        <s v="Married"/>
        <s v="Single"/>
        <m/>
      </sharedItems>
    </cacheField>
    <cacheField name="Gender" numFmtId="0">
      <sharedItems containsBlank="1" count="3">
        <s v="Female"/>
        <s v="Male"/>
        <m/>
      </sharedItems>
    </cacheField>
    <cacheField name="Income" numFmtId="17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ount="6">
        <s v="Skilled Manual"/>
        <s v="Clerical"/>
        <s v="Professional"/>
        <s v="Manual"/>
        <s v="Management"/>
        <m/>
      </sharedItems>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8">
        <s v="0-1 Miles"/>
        <s v="2-5 Miles"/>
        <s v="5-10 Miles"/>
        <s v="1-2 Miles"/>
        <s v="More than 10 Miles"/>
        <m/>
        <s v="10-100 Miles" u="1"/>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kets" numFmtId="0">
      <sharedItems count="3">
        <s v="Middle Age"/>
        <s v="Old"/>
        <s v="Adolescent"/>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5426246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1"/>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1"/>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1"/>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1"/>
    <x v="1"/>
  </r>
  <r>
    <n v="25026"/>
    <x v="0"/>
    <x v="1"/>
    <n v="20000"/>
    <n v="2"/>
    <x v="3"/>
    <x v="1"/>
    <s v="Yes"/>
    <n v="3"/>
    <x v="2"/>
    <x v="1"/>
    <n v="54"/>
    <x v="1"/>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1"/>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1"/>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1"/>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1"/>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1"/>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1"/>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1"/>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1"/>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1"/>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1"/>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1"/>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r>
    <m/>
    <x v="2"/>
    <x v="2"/>
    <m/>
    <m/>
    <x v="5"/>
    <x v="5"/>
    <m/>
    <m/>
    <x v="5"/>
    <x v="3"/>
    <m/>
    <x v="2"/>
    <x v="2"/>
  </r>
  <r>
    <m/>
    <x v="2"/>
    <x v="2"/>
    <m/>
    <m/>
    <x v="5"/>
    <x v="5"/>
    <m/>
    <m/>
    <x v="5"/>
    <x v="3"/>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AB6B27-3571-48AE-BEC0-147DDF247C15}" name="PivotTable4"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D40" firstHeaderRow="1" firstDataRow="2" firstDataCol="1"/>
  <pivotFields count="14">
    <pivotField showAll="0"/>
    <pivotField showAll="0">
      <items count="4">
        <item x="0"/>
        <item x="1"/>
        <item x="2"/>
        <item t="default"/>
      </items>
    </pivotField>
    <pivotField showAll="0"/>
    <pivotField showAll="0"/>
    <pivotField showAll="0"/>
    <pivotField showAll="0">
      <items count="7">
        <item x="0"/>
        <item x="4"/>
        <item x="2"/>
        <item x="1"/>
        <item x="3"/>
        <item x="5"/>
        <item t="default"/>
      </items>
    </pivotField>
    <pivotField showAll="0">
      <items count="7">
        <item x="1"/>
        <item h="1" x="4"/>
        <item h="1" x="3"/>
        <item h="1" x="2"/>
        <item h="1" x="0"/>
        <item h="1" x="5"/>
        <item t="default"/>
      </items>
    </pivotField>
    <pivotField showAll="0"/>
    <pivotField showAll="0"/>
    <pivotField showAll="0"/>
    <pivotField showAll="0">
      <items count="5">
        <item x="0"/>
        <item x="2"/>
        <item x="1"/>
        <item x="3"/>
        <item t="default"/>
      </items>
    </pivotField>
    <pivotField showAll="0"/>
    <pivotField axis="axisRow" showAll="0">
      <items count="4">
        <item x="2"/>
        <item x="0"/>
        <item x="1"/>
        <item t="default"/>
      </items>
    </pivotField>
    <pivotField axis="axisCol" dataField="1" showAll="0">
      <items count="4">
        <item x="0"/>
        <item x="1"/>
        <item h="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00BD05-6B96-4164-B39F-C0F5FD344610}" name="PivotTable3"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D23" firstHeaderRow="1" firstDataRow="2" firstDataCol="1"/>
  <pivotFields count="14">
    <pivotField showAll="0"/>
    <pivotField showAll="0">
      <items count="4">
        <item x="0"/>
        <item x="1"/>
        <item x="2"/>
        <item t="default"/>
      </items>
    </pivotField>
    <pivotField showAll="0"/>
    <pivotField showAll="0"/>
    <pivotField showAll="0"/>
    <pivotField showAll="0">
      <items count="7">
        <item x="0"/>
        <item x="4"/>
        <item x="2"/>
        <item x="1"/>
        <item x="3"/>
        <item x="5"/>
        <item t="default"/>
      </items>
    </pivotField>
    <pivotField showAll="0">
      <items count="7">
        <item x="1"/>
        <item h="1" x="4"/>
        <item h="1" x="3"/>
        <item h="1" x="2"/>
        <item h="1" x="0"/>
        <item h="1" x="5"/>
        <item t="default"/>
      </items>
    </pivotField>
    <pivotField showAll="0"/>
    <pivotField showAll="0"/>
    <pivotField axis="axisRow" showAll="0">
      <items count="9">
        <item x="0"/>
        <item m="1" x="7"/>
        <item x="3"/>
        <item x="1"/>
        <item x="2"/>
        <item h="1" x="5"/>
        <item x="4"/>
        <item h="1" m="1" x="6"/>
        <item t="default"/>
      </items>
    </pivotField>
    <pivotField showAll="0">
      <items count="5">
        <item x="0"/>
        <item x="2"/>
        <item x="1"/>
        <item x="3"/>
        <item t="default"/>
      </items>
    </pivotField>
    <pivotField showAll="0"/>
    <pivotField showAll="0"/>
    <pivotField axis="axisCol" dataField="1" showAll="0">
      <items count="4">
        <item x="0"/>
        <item x="1"/>
        <item x="2"/>
        <item t="default"/>
      </items>
    </pivotField>
  </pivotFields>
  <rowFields count="1">
    <field x="9"/>
  </rowFields>
  <rowItems count="5">
    <i>
      <x/>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2EF826-CA0C-44FA-8AB3-A2E2B01C6FAA}" name="PivotTable2" cacheId="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4">
        <item x="0"/>
        <item x="1"/>
        <item x="2"/>
        <item t="default"/>
      </items>
    </pivotField>
    <pivotField axis="axisRow" showAll="0" includeNewItemsInFilter="1">
      <items count="4">
        <item x="0"/>
        <item x="1"/>
        <item h="1" x="2"/>
        <item t="default"/>
      </items>
    </pivotField>
    <pivotField dataField="1" showAll="0"/>
    <pivotField showAll="0"/>
    <pivotField showAll="0">
      <items count="7">
        <item x="0"/>
        <item x="4"/>
        <item x="2"/>
        <item x="1"/>
        <item x="3"/>
        <item x="5"/>
        <item t="default"/>
      </items>
    </pivotField>
    <pivotField showAll="0">
      <items count="7">
        <item x="1"/>
        <item h="1" x="4"/>
        <item h="1" x="3"/>
        <item h="1" x="2"/>
        <item h="1" x="0"/>
        <item h="1" x="5"/>
        <item t="default"/>
      </items>
    </pivotField>
    <pivotField showAll="0"/>
    <pivotField showAll="0"/>
    <pivotField showAll="0"/>
    <pivotField showAll="0">
      <items count="5">
        <item x="0"/>
        <item x="2"/>
        <item x="1"/>
        <item x="3"/>
        <item t="default"/>
      </items>
    </pivotField>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6"/>
  </dataFields>
  <formats count="1">
    <format dxfId="3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E9671519-1B41-4EBA-857C-1B50AD34EABF}" sourceName="Maritial Status">
  <pivotTables>
    <pivotTable tabId="3" name="PivotTable2"/>
    <pivotTable tabId="3" name="PivotTable3"/>
    <pivotTable tabId="3" name="PivotTable4"/>
  </pivotTables>
  <data>
    <tabular pivotCacheId="542624661">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5054ED0-D64C-4559-BE86-CA00FDC3AAC0}" sourceName="Education">
  <pivotTables>
    <pivotTable tabId="3" name="PivotTable2"/>
    <pivotTable tabId="3" name="PivotTable3"/>
    <pivotTable tabId="3" name="PivotTable4"/>
  </pivotTables>
  <data>
    <tabular pivotCacheId="542624661">
      <items count="6">
        <i x="0" s="1"/>
        <i x="4"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F9C3B9-36AD-40CA-92BC-38497C9BBF1D}" sourceName="Region">
  <pivotTables>
    <pivotTable tabId="3" name="PivotTable2"/>
    <pivotTable tabId="3" name="PivotTable3"/>
    <pivotTable tabId="3" name="PivotTable4"/>
  </pivotTables>
  <data>
    <tabular pivotCacheId="542624661">
      <items count="4">
        <i x="0" s="1"/>
        <i x="2"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BEB22A4-77D6-446A-8E05-EA4F2DD7A7DC}" sourceName="Occupation">
  <pivotTables>
    <pivotTable tabId="3" name="PivotTable3"/>
    <pivotTable tabId="3" name="PivotTable2"/>
    <pivotTable tabId="3" name="PivotTable4"/>
  </pivotTables>
  <data>
    <tabular pivotCacheId="542624661">
      <items count="6">
        <i x="1" s="1"/>
        <i x="4"/>
        <i x="3"/>
        <i x="2"/>
        <i x="0"/>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80781382-3554-416B-A8F6-34090E0FBA9B}" cache="Slicer_Maritial_Status" caption="Maritial Status" style="SlicerStyleOther2" rowHeight="241300"/>
  <slicer name="Education" xr10:uid="{749D6219-C611-46BA-92AD-8376D7C8EA33}" cache="Slicer_Education" caption="Education" style="SlicerStyleOther2" rowHeight="241300"/>
  <slicer name="Region" xr10:uid="{266ACDFD-D9D8-44DC-87EC-5FA0148D9562}" cache="Slicer_Region" caption="Region" style="SlicerStyleOther2" rowHeight="241300"/>
  <slicer name="Occupation" xr10:uid="{52FF1741-EC18-4B1F-B0C9-D42F12A47A38}" cache="Slicer_Occupation" caption="Occupation" style="SlicerStyleOther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6" sqref="H1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1D11-71E8-43F9-8B85-BD730162FB5E}">
  <dimension ref="A1:N1003"/>
  <sheetViews>
    <sheetView topLeftCell="A982" workbookViewId="0">
      <selection activeCell="E1002" sqref="E1002"/>
    </sheetView>
  </sheetViews>
  <sheetFormatPr defaultColWidth="11.90625" defaultRowHeight="14.5" x14ac:dyDescent="0.35"/>
  <cols>
    <col min="1" max="1" width="6.08984375" customWidth="1"/>
    <col min="2" max="2" width="16.81640625" customWidth="1"/>
    <col min="4" max="4" width="12.08984375" style="3" bestFit="1" customWidth="1"/>
    <col min="6" max="6" width="16" customWidth="1"/>
    <col min="7" max="7" width="15.6328125" customWidth="1"/>
    <col min="8" max="8" width="8.1796875" customWidth="1"/>
    <col min="9" max="9" width="7.36328125" customWidth="1"/>
    <col min="10" max="10" width="19.81640625" customWidth="1"/>
    <col min="14" max="14" width="15.453125" customWidth="1"/>
  </cols>
  <sheetData>
    <row r="1" spans="1:14" x14ac:dyDescent="0.35">
      <c r="A1" t="s">
        <v>0</v>
      </c>
      <c r="B1" t="s">
        <v>41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Old</v>
      </c>
      <c r="N12" t="s">
        <v>15</v>
      </c>
    </row>
    <row r="13" spans="1:14" x14ac:dyDescent="0.35">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47</v>
      </c>
      <c r="K57" t="s">
        <v>17</v>
      </c>
      <c r="L57">
        <v>54</v>
      </c>
      <c r="M57" t="str">
        <f t="shared" si="0"/>
        <v>Old</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Old</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Old</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Old</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Old</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Old</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47</v>
      </c>
      <c r="K320" t="s">
        <v>17</v>
      </c>
      <c r="L320">
        <v>54</v>
      </c>
      <c r="M320" t="str">
        <f t="shared" si="4"/>
        <v>Old</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Old</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47</v>
      </c>
      <c r="K554" t="s">
        <v>32</v>
      </c>
      <c r="L554">
        <v>54</v>
      </c>
      <c r="M554" t="str">
        <f t="shared" si="8"/>
        <v>Old</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Old</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47</v>
      </c>
      <c r="K777" t="s">
        <v>32</v>
      </c>
      <c r="L777">
        <v>54</v>
      </c>
      <c r="M777" t="str">
        <f t="shared" si="12"/>
        <v>Old</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Old</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Old</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Old</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3"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Old</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row r="1002" spans="1:14" x14ac:dyDescent="0.35">
      <c r="M1002" t="str">
        <f t="shared" si="15"/>
        <v>Adolescent</v>
      </c>
    </row>
    <row r="1003" spans="1:14" x14ac:dyDescent="0.35">
      <c r="M1003" t="str">
        <f t="shared" si="15"/>
        <v>Adolescent</v>
      </c>
    </row>
  </sheetData>
  <autoFilter ref="J1:J1027" xr:uid="{3A001D11-71E8-43F9-8B85-BD730162FB5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172D8-C6B8-46EF-90A0-9B362977B419}">
  <dimension ref="A3:D40"/>
  <sheetViews>
    <sheetView zoomScale="40" zoomScaleNormal="40" workbookViewId="0">
      <selection activeCell="X32" sqref="X32"/>
    </sheetView>
  </sheetViews>
  <sheetFormatPr defaultRowHeight="14.5" x14ac:dyDescent="0.35"/>
  <cols>
    <col min="1" max="1" width="21.54296875" bestFit="1" customWidth="1"/>
    <col min="2" max="2" width="15.90625" bestFit="1" customWidth="1"/>
    <col min="3" max="3" width="3.7265625" bestFit="1" customWidth="1"/>
    <col min="4" max="5" width="10.7265625" bestFit="1" customWidth="1"/>
  </cols>
  <sheetData>
    <row r="3" spans="1:4" x14ac:dyDescent="0.35">
      <c r="A3" s="5" t="s">
        <v>44</v>
      </c>
      <c r="B3" s="5" t="s">
        <v>46</v>
      </c>
    </row>
    <row r="4" spans="1:4" x14ac:dyDescent="0.35">
      <c r="A4" s="5" t="s">
        <v>42</v>
      </c>
      <c r="B4" t="s">
        <v>18</v>
      </c>
      <c r="C4" t="s">
        <v>15</v>
      </c>
      <c r="D4" t="s">
        <v>43</v>
      </c>
    </row>
    <row r="5" spans="1:4" x14ac:dyDescent="0.35">
      <c r="A5" s="6" t="s">
        <v>39</v>
      </c>
      <c r="B5" s="7">
        <v>30000</v>
      </c>
      <c r="C5" s="7">
        <v>33478.260869565216</v>
      </c>
      <c r="D5" s="7">
        <v>31684.21052631579</v>
      </c>
    </row>
    <row r="6" spans="1:4" x14ac:dyDescent="0.35">
      <c r="A6" s="6" t="s">
        <v>38</v>
      </c>
      <c r="B6" s="7">
        <v>27500</v>
      </c>
      <c r="C6" s="7">
        <v>33095.238095238092</v>
      </c>
      <c r="D6" s="7">
        <v>30365.853658536584</v>
      </c>
    </row>
    <row r="7" spans="1:4" x14ac:dyDescent="0.35">
      <c r="A7" s="6" t="s">
        <v>43</v>
      </c>
      <c r="B7" s="7">
        <v>28876.404494382023</v>
      </c>
      <c r="C7" s="7">
        <v>33295.454545454544</v>
      </c>
      <c r="D7" s="7">
        <v>31073.446327683614</v>
      </c>
    </row>
    <row r="17" spans="1:4" x14ac:dyDescent="0.35">
      <c r="A17" s="5" t="s">
        <v>45</v>
      </c>
      <c r="B17" s="5" t="s">
        <v>46</v>
      </c>
    </row>
    <row r="18" spans="1:4" x14ac:dyDescent="0.35">
      <c r="A18" s="5" t="s">
        <v>42</v>
      </c>
      <c r="B18" t="s">
        <v>18</v>
      </c>
      <c r="C18" t="s">
        <v>15</v>
      </c>
      <c r="D18" t="s">
        <v>43</v>
      </c>
    </row>
    <row r="19" spans="1:4" x14ac:dyDescent="0.35">
      <c r="A19" s="6" t="s">
        <v>16</v>
      </c>
      <c r="B19" s="4">
        <v>50</v>
      </c>
      <c r="C19" s="4">
        <v>59</v>
      </c>
      <c r="D19" s="4">
        <v>109</v>
      </c>
    </row>
    <row r="20" spans="1:4" x14ac:dyDescent="0.35">
      <c r="A20" s="6" t="s">
        <v>26</v>
      </c>
      <c r="B20" s="4">
        <v>9</v>
      </c>
      <c r="C20" s="4">
        <v>21</v>
      </c>
      <c r="D20" s="4">
        <v>30</v>
      </c>
    </row>
    <row r="21" spans="1:4" x14ac:dyDescent="0.35">
      <c r="A21" s="6" t="s">
        <v>22</v>
      </c>
      <c r="B21" s="4">
        <v>12</v>
      </c>
      <c r="C21" s="4">
        <v>3</v>
      </c>
      <c r="D21" s="4">
        <v>15</v>
      </c>
    </row>
    <row r="22" spans="1:4" x14ac:dyDescent="0.35">
      <c r="A22" s="6" t="s">
        <v>23</v>
      </c>
      <c r="B22" s="4">
        <v>18</v>
      </c>
      <c r="C22" s="4">
        <v>5</v>
      </c>
      <c r="D22" s="4">
        <v>23</v>
      </c>
    </row>
    <row r="23" spans="1:4" x14ac:dyDescent="0.35">
      <c r="A23" s="6" t="s">
        <v>43</v>
      </c>
      <c r="B23" s="4">
        <v>89</v>
      </c>
      <c r="C23" s="4">
        <v>88</v>
      </c>
      <c r="D23" s="4">
        <v>177</v>
      </c>
    </row>
    <row r="35" spans="1:4" x14ac:dyDescent="0.35">
      <c r="A35" s="5" t="s">
        <v>45</v>
      </c>
      <c r="B35" s="5" t="s">
        <v>46</v>
      </c>
    </row>
    <row r="36" spans="1:4" x14ac:dyDescent="0.35">
      <c r="A36" s="5" t="s">
        <v>42</v>
      </c>
      <c r="B36" t="s">
        <v>18</v>
      </c>
      <c r="C36" t="s">
        <v>15</v>
      </c>
      <c r="D36" t="s">
        <v>43</v>
      </c>
    </row>
    <row r="37" spans="1:4" x14ac:dyDescent="0.35">
      <c r="A37" s="6" t="s">
        <v>48</v>
      </c>
      <c r="B37" s="4">
        <v>20</v>
      </c>
      <c r="C37" s="4">
        <v>13</v>
      </c>
      <c r="D37" s="4">
        <v>33</v>
      </c>
    </row>
    <row r="38" spans="1:4" x14ac:dyDescent="0.35">
      <c r="A38" s="6" t="s">
        <v>49</v>
      </c>
      <c r="B38" s="4">
        <v>47</v>
      </c>
      <c r="C38" s="4">
        <v>64</v>
      </c>
      <c r="D38" s="4">
        <v>111</v>
      </c>
    </row>
    <row r="39" spans="1:4" x14ac:dyDescent="0.35">
      <c r="A39" s="6" t="s">
        <v>50</v>
      </c>
      <c r="B39" s="4">
        <v>22</v>
      </c>
      <c r="C39" s="4">
        <v>11</v>
      </c>
      <c r="D39" s="4">
        <v>33</v>
      </c>
    </row>
    <row r="40" spans="1:4" x14ac:dyDescent="0.35">
      <c r="A40" s="6" t="s">
        <v>43</v>
      </c>
      <c r="B40" s="4">
        <v>89</v>
      </c>
      <c r="C40" s="4">
        <v>88</v>
      </c>
      <c r="D40" s="4">
        <v>177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BA7AE-B8E1-44AB-B01D-719CA5838B6D}">
  <dimension ref="A1:P1"/>
  <sheetViews>
    <sheetView showGridLines="0" tabSelected="1" zoomScale="55" zoomScaleNormal="55" workbookViewId="0">
      <selection activeCell="B36" sqref="B36"/>
    </sheetView>
  </sheetViews>
  <sheetFormatPr defaultRowHeight="14.5" x14ac:dyDescent="0.35"/>
  <sheetData>
    <row r="1" spans="1:16" ht="78" x14ac:dyDescent="2.7">
      <c r="A1" s="8"/>
      <c r="B1" s="8"/>
      <c r="C1" s="8"/>
      <c r="D1" s="8"/>
      <c r="E1" s="9" t="s">
        <v>51</v>
      </c>
      <c r="F1" s="8"/>
      <c r="G1" s="10"/>
      <c r="H1" s="8"/>
      <c r="I1" s="8"/>
      <c r="J1" s="8"/>
      <c r="K1" s="8"/>
      <c r="L1" s="8"/>
      <c r="M1" s="8"/>
      <c r="N1" s="8"/>
      <c r="O1" s="8"/>
      <c r="P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Muhammad Awan</cp:lastModifiedBy>
  <dcterms:created xsi:type="dcterms:W3CDTF">2022-03-18T02:50:57Z</dcterms:created>
  <dcterms:modified xsi:type="dcterms:W3CDTF">2026-06-09T13:40:31Z</dcterms:modified>
</cp:coreProperties>
</file>